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14\Desktop\Jozman\Institut UCAC-ICAM\X4\ETSIA\PARTIE 2 - PLAN PROJET - GROUPE 15\Gestion des couts\"/>
    </mc:Choice>
  </mc:AlternateContent>
  <xr:revisionPtr revIDLastSave="0" documentId="13_ncr:1_{63E6FF39-8A18-4FD8-AEF2-62B7B1EA0B00}" xr6:coauthVersionLast="47" xr6:coauthVersionMax="47" xr10:uidLastSave="{00000000-0000-0000-0000-000000000000}"/>
  <bookViews>
    <workbookView minimized="1" xWindow="7802" yWindow="1032" windowWidth="10252" windowHeight="6791" xr2:uid="{00000000-000D-0000-FFFF-FFFF00000000}"/>
  </bookViews>
  <sheets>
    <sheet name="Budget Détaillé 5 Mo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1" l="1"/>
  <c r="H11" i="1"/>
  <c r="H10" i="1"/>
  <c r="H9" i="1" l="1"/>
  <c r="H12" i="1"/>
  <c r="H15" i="1" l="1"/>
</calcChain>
</file>

<file path=xl/sharedStrings.xml><?xml version="1.0" encoding="utf-8"?>
<sst xmlns="http://schemas.openxmlformats.org/spreadsheetml/2006/main" count="30" uniqueCount="30">
  <si>
    <t>Client : UCAC-ICAM (Zone Yansoki)</t>
  </si>
  <si>
    <t>N°</t>
  </si>
  <si>
    <t>Poste de dépense</t>
  </si>
  <si>
    <t>Description &amp; Justification</t>
  </si>
  <si>
    <t>Prix Unitaire</t>
  </si>
  <si>
    <t>Montant Total</t>
  </si>
  <si>
    <t>Source / Référence</t>
  </si>
  <si>
    <t>1. RESSOURCES HUMAINES</t>
  </si>
  <si>
    <t>1.1</t>
  </si>
  <si>
    <t>1.2</t>
  </si>
  <si>
    <t>2.1</t>
  </si>
  <si>
    <t>Comptes Développeurs</t>
  </si>
  <si>
    <t>Apple / Google</t>
  </si>
  <si>
    <t>API Modération IA</t>
  </si>
  <si>
    <t>Consommation (Censure auto)</t>
  </si>
  <si>
    <t>AWS Rekognition</t>
  </si>
  <si>
    <t>BUDGET TOTAL</t>
  </si>
  <si>
    <t>https://localhost-academy.com/quel-est-le-salaire-dun-ingenieur-en-genie-logiciel-au-cameroun/</t>
  </si>
  <si>
    <t>https://www.glassdoor.fr/Salaires/cameroun-chef-de-projet-salaire-SRCH_IL.0,8_IN52_KO9,23.htm</t>
  </si>
  <si>
    <t>Chef de Projet ingénieur informaticien</t>
  </si>
  <si>
    <t>développement</t>
  </si>
  <si>
    <t>Gestion globale, suivi, livrables, développement</t>
  </si>
  <si>
    <t>Fréquence (mois)</t>
  </si>
  <si>
    <t>Quantité</t>
  </si>
  <si>
    <t xml:space="preserve">Coût complet </t>
  </si>
  <si>
    <t>Ingénieur informaticien</t>
  </si>
  <si>
    <t>BUDGET PRÉVISIONNEL DÉTAILLÉ - PROJET YANSNET ( PARTIE APPLICATION )</t>
  </si>
  <si>
    <t xml:space="preserve">Apple  + Google Play </t>
  </si>
  <si>
    <t>2. SERVICES TIERS &amp; LICENCES</t>
  </si>
  <si>
    <t>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</si>
</sst>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CFA&quot;"/>
  </numFmts>
  <fonts count="10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1"/>
      <color rgb="FF59595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FFFFF"/>
      <name val="Lato"/>
      <family val="2"/>
    </font>
    <font>
      <b/>
      <sz val="16"/>
      <color theme="1"/>
      <name val="Lato"/>
      <family val="2"/>
    </font>
    <font>
      <sz val="16"/>
      <color theme="1"/>
      <name val="Lato"/>
      <family val="2"/>
    </font>
    <font>
      <i/>
      <sz val="16"/>
      <color rgb="FF404040"/>
      <name val="Lato"/>
      <family val="2"/>
    </font>
    <font>
      <u/>
      <sz val="16"/>
      <color theme="10"/>
      <name val="Lato"/>
      <family val="2"/>
    </font>
    <font>
      <u/>
      <sz val="16"/>
      <color rgb="FF0000FF"/>
      <name val="Lato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wrapText="1"/>
    </xf>
    <xf numFmtId="164" fontId="4" fillId="4" borderId="1" xfId="0" applyNumberFormat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ocalhost-academy.com/quel-est-le-salaire-dun-ingenieur-en-genie-logiciel-au-cameroun/" TargetMode="External"/><Relationship Id="rId2" Type="http://schemas.openxmlformats.org/officeDocument/2006/relationships/hyperlink" Target="https://developer.apple.com/programs/enroll/" TargetMode="External"/><Relationship Id="rId1" Type="http://schemas.openxmlformats.org/officeDocument/2006/relationships/hyperlink" Target="https://aws.amazon.com/fr/rekognition/pricing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lassdoor.fr/Salaires/cameroun-chef-de-projet-salaire-SRCH_IL.0,8_IN52_KO9,23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5"/>
  <sheetViews>
    <sheetView showGridLines="0" tabSelected="1" topLeftCell="A7" zoomScale="69" zoomScaleNormal="69" workbookViewId="0">
      <selection activeCell="J11" sqref="J11"/>
    </sheetView>
  </sheetViews>
  <sheetFormatPr defaultRowHeight="14" x14ac:dyDescent="0.3"/>
  <cols>
    <col min="1" max="1" width="8.796875" style="1"/>
    <col min="2" max="2" width="5.69921875" style="1" customWidth="1"/>
    <col min="3" max="3" width="32.69921875" style="1" customWidth="1"/>
    <col min="4" max="4" width="38.796875" style="1" customWidth="1"/>
    <col min="5" max="5" width="18.59765625" style="1" customWidth="1"/>
    <col min="6" max="6" width="23.59765625" style="1" customWidth="1"/>
    <col min="7" max="7" width="10.09765625" style="1" customWidth="1"/>
    <col min="8" max="8" width="26.09765625" style="1" customWidth="1"/>
    <col min="9" max="9" width="45" style="1" customWidth="1"/>
    <col min="10" max="16384" width="8.796875" style="1"/>
  </cols>
  <sheetData>
    <row r="2" spans="2:9" ht="83.85" x14ac:dyDescent="0.45">
      <c r="C2" s="2" t="s">
        <v>26</v>
      </c>
    </row>
    <row r="3" spans="2:9" x14ac:dyDescent="0.3">
      <c r="C3" s="3" t="s">
        <v>0</v>
      </c>
    </row>
    <row r="4" spans="2:9" x14ac:dyDescent="0.3">
      <c r="C4" s="3"/>
    </row>
    <row r="5" spans="2:9" x14ac:dyDescent="0.3">
      <c r="C5" s="3"/>
    </row>
    <row r="8" spans="2:9" ht="49.45" x14ac:dyDescent="0.3">
      <c r="B8" s="4" t="s">
        <v>1</v>
      </c>
      <c r="C8" s="4" t="s">
        <v>2</v>
      </c>
      <c r="D8" s="4" t="s">
        <v>3</v>
      </c>
      <c r="E8" s="4" t="s">
        <v>22</v>
      </c>
      <c r="F8" s="4" t="s">
        <v>4</v>
      </c>
      <c r="G8" s="4" t="s">
        <v>23</v>
      </c>
      <c r="H8" s="4" t="s">
        <v>5</v>
      </c>
      <c r="I8" s="4" t="s">
        <v>6</v>
      </c>
    </row>
    <row r="9" spans="2:9" ht="49.45" x14ac:dyDescent="0.65">
      <c r="B9" s="5"/>
      <c r="C9" s="5" t="s">
        <v>7</v>
      </c>
      <c r="D9" s="5"/>
      <c r="E9" s="5"/>
      <c r="F9" s="5"/>
      <c r="G9" s="5"/>
      <c r="H9" s="6">
        <f>SUM(H10:H11)</f>
        <v>2750000</v>
      </c>
      <c r="I9" s="5"/>
    </row>
    <row r="10" spans="2:9" ht="91.9" customHeight="1" x14ac:dyDescent="0.65">
      <c r="B10" s="7" t="s">
        <v>8</v>
      </c>
      <c r="C10" s="7" t="s">
        <v>19</v>
      </c>
      <c r="D10" s="7" t="s">
        <v>21</v>
      </c>
      <c r="E10" s="8">
        <v>5</v>
      </c>
      <c r="F10" s="9">
        <v>350000</v>
      </c>
      <c r="G10" s="10">
        <v>1</v>
      </c>
      <c r="H10" s="9">
        <f t="shared" ref="H10:H11" si="0">E10*F10</f>
        <v>1750000</v>
      </c>
      <c r="I10" s="11" t="s">
        <v>18</v>
      </c>
    </row>
    <row r="11" spans="2:9" ht="98.9" x14ac:dyDescent="0.65">
      <c r="B11" s="7" t="s">
        <v>9</v>
      </c>
      <c r="C11" s="7" t="s">
        <v>25</v>
      </c>
      <c r="D11" s="7" t="s">
        <v>20</v>
      </c>
      <c r="E11" s="8">
        <v>5</v>
      </c>
      <c r="F11" s="9">
        <v>200000</v>
      </c>
      <c r="G11" s="10">
        <v>4</v>
      </c>
      <c r="H11" s="9">
        <f t="shared" si="0"/>
        <v>1000000</v>
      </c>
      <c r="I11" s="11" t="s">
        <v>17</v>
      </c>
    </row>
    <row r="12" spans="2:9" ht="49.45" x14ac:dyDescent="0.65">
      <c r="B12" s="5"/>
      <c r="C12" s="5" t="s">
        <v>28</v>
      </c>
      <c r="D12" s="5"/>
      <c r="E12" s="5"/>
      <c r="F12" s="5"/>
      <c r="G12" s="5"/>
      <c r="H12" s="6">
        <f>SUM(H13:H14)</f>
        <v>990000</v>
      </c>
      <c r="I12" s="5"/>
    </row>
    <row r="13" spans="2:9" ht="49.45" x14ac:dyDescent="0.65">
      <c r="B13" s="7" t="s">
        <v>10</v>
      </c>
      <c r="C13" s="7" t="s">
        <v>11</v>
      </c>
      <c r="D13" s="7" t="s">
        <v>27</v>
      </c>
      <c r="E13" s="8">
        <v>12</v>
      </c>
      <c r="F13" s="9">
        <v>75000</v>
      </c>
      <c r="G13" s="10"/>
      <c r="H13" s="9">
        <v>75000</v>
      </c>
      <c r="I13" s="12" t="s">
        <v>12</v>
      </c>
    </row>
    <row r="14" spans="2:9" ht="49.45" x14ac:dyDescent="0.65">
      <c r="B14" s="7" t="s">
        <v>29</v>
      </c>
      <c r="C14" s="7" t="s">
        <v>13</v>
      </c>
      <c r="D14" s="7" t="s">
        <v>14</v>
      </c>
      <c r="E14" s="8">
        <v>5</v>
      </c>
      <c r="F14" s="9">
        <v>183000</v>
      </c>
      <c r="G14" s="10"/>
      <c r="H14" s="9">
        <f>E14*F14</f>
        <v>915000</v>
      </c>
      <c r="I14" s="12" t="s">
        <v>15</v>
      </c>
    </row>
    <row r="15" spans="2:9" ht="24.75" x14ac:dyDescent="0.65">
      <c r="B15" s="13"/>
      <c r="C15" s="13" t="s">
        <v>16</v>
      </c>
      <c r="D15" s="13" t="s">
        <v>24</v>
      </c>
      <c r="E15" s="13"/>
      <c r="F15" s="13"/>
      <c r="G15" s="13"/>
      <c r="H15" s="14">
        <f>H9+H12</f>
        <v>3740000</v>
      </c>
      <c r="I15" s="13"/>
    </row>
  </sheetData>
  <hyperlinks>
    <hyperlink ref="I14" r:id="rId1" xr:uid="{00000000-0004-0000-0000-00000A000000}"/>
    <hyperlink ref="I13" r:id="rId2" xr:uid="{00000000-0004-0000-0000-000009000000}"/>
    <hyperlink ref="I11" r:id="rId3" xr:uid="{00000000-0004-0000-0000-000001000000}"/>
    <hyperlink ref="I10" r:id="rId4" xr:uid="{00000000-0004-0000-0000-00000000000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Détaillé 5 Mois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Lionel</dc:creator>
  <cp:lastModifiedBy>Joseph E Nkoulou</cp:lastModifiedBy>
  <cp:lastPrinted>2026-02-22T18:00:50Z</cp:lastPrinted>
  <dcterms:created xsi:type="dcterms:W3CDTF">2026-02-22T17:16:02Z</dcterms:created>
  <dcterms:modified xsi:type="dcterms:W3CDTF">2026-02-27T10:38:13Z</dcterms:modified>
</cp:coreProperties>
</file>